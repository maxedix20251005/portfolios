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概要" sheetId="1" state="visible" r:id="rId1"/>
    <sheet xmlns:r="http://schemas.openxmlformats.org/officeDocument/2006/relationships" name="01_機能一覧" sheetId="2" state="visible" r:id="rId2"/>
    <sheet xmlns:r="http://schemas.openxmlformats.org/officeDocument/2006/relationships" name="02_シナリオ一覧" sheetId="3" state="visible" r:id="rId3"/>
    <sheet xmlns:r="http://schemas.openxmlformats.org/officeDocument/2006/relationships" name="03_テストケース" sheetId="4" state="visible" r:id="rId4"/>
    <sheet xmlns:r="http://schemas.openxmlformats.org/officeDocument/2006/relationships" name="04_欠陥管理" sheetId="5" state="visible" r:id="rId5"/>
    <sheet xmlns:r="http://schemas.openxmlformats.org/officeDocument/2006/relationships" name="05_実行サマリ" sheetId="6" state="visible" r:id="rId6"/>
    <sheet xmlns:r="http://schemas.openxmlformats.org/officeDocument/2006/relationships" name="06_実行手順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テスト計画概要</t>
        </is>
      </c>
      <c r="B1" t="inlineStr"/>
    </row>
    <row r="2">
      <c r="A2" t="inlineStr">
        <is>
          <t>本テスト計画は、inim-dxのWebサイトおよび管理機能に対して、公開導線・会員導線・予約導線・管理機能の全体品質を保証することを目的とする。</t>
        </is>
      </c>
      <c r="B2" t="inlineStr"/>
    </row>
    <row r="3">
      <c r="A3" t="inlineStr"/>
      <c r="B3" t="inlineStr"/>
    </row>
    <row r="4">
      <c r="A4" t="inlineStr">
        <is>
          <t>対象範囲</t>
        </is>
      </c>
      <c r="B4" t="inlineStr"/>
    </row>
    <row r="5">
      <c r="A5" t="inlineStr">
        <is>
          <t>・公開サイト：Home、Workshop、Booking、商品、記事、検索、問い合わせ、法務ページ</t>
        </is>
      </c>
      <c r="B5" t="inlineStr"/>
    </row>
    <row r="6">
      <c r="A6" t="inlineStr">
        <is>
          <t>・会員機能：登録、ログイン、アカウント管理</t>
        </is>
      </c>
      <c r="B6" t="inlineStr"/>
    </row>
    <row r="7">
      <c r="A7" t="inlineStr">
        <is>
          <t>・予約導線：選択→入力→確認→完了までの一連のフロー</t>
        </is>
      </c>
      <c r="B7" t="inlineStr"/>
    </row>
    <row r="8">
      <c r="A8" t="inlineStr">
        <is>
          <t>・管理機能：F-001〜F-010（ログイン、導線設定、商品、記事、ユーザー、予約管理等）</t>
        </is>
      </c>
      <c r="B8" t="inlineStr"/>
    </row>
    <row r="9">
      <c r="A9" t="inlineStr">
        <is>
          <t>・外部連携：Supabase Auth / DB / Storage</t>
        </is>
      </c>
      <c r="B9" t="inlineStr"/>
    </row>
    <row r="10">
      <c r="A10" t="inlineStr"/>
      <c r="B10" t="inlineStr"/>
    </row>
    <row r="11">
      <c r="A11" t="inlineStr">
        <is>
          <t>目的</t>
        </is>
      </c>
      <c r="B11" t="inlineStr"/>
    </row>
    <row r="12">
      <c r="A12" t="inlineStr">
        <is>
          <t>・主要導線（予約・会員・管理）の正常動作を保証する</t>
        </is>
      </c>
      <c r="B12" t="inlineStr"/>
    </row>
    <row r="13">
      <c r="A13" t="inlineStr">
        <is>
          <t>・データ整合性（登録・更新・取得）を保証する</t>
        </is>
      </c>
      <c r="B13" t="inlineStr"/>
    </row>
    <row r="14">
      <c r="A14" t="inlineStr">
        <is>
          <t>・権限・認証の適切な制御を確認する</t>
        </is>
      </c>
      <c r="B14" t="inlineStr"/>
    </row>
    <row r="15">
      <c r="A15" t="inlineStr">
        <is>
          <t>・ユーザー操作におけるUI/UX上の不具合を排除する</t>
        </is>
      </c>
      <c r="B15" t="inlineStr"/>
    </row>
    <row r="16">
      <c r="A16" t="inlineStr"/>
      <c r="B16" t="inlineStr"/>
    </row>
    <row r="17">
      <c r="A17" t="inlineStr">
        <is>
          <t>テスト方針</t>
        </is>
      </c>
      <c r="B17" t="inlineStr"/>
    </row>
    <row r="18">
      <c r="A18" t="inlineStr">
        <is>
          <t>・機能単位および業務シナリオ単位でテストを実施する</t>
        </is>
      </c>
      <c r="B18" t="inlineStr"/>
    </row>
    <row r="19">
      <c r="A19" t="inlineStr">
        <is>
          <t>・正常系／異常系／境界値を網羅する</t>
        </is>
      </c>
      <c r="B19" t="inlineStr"/>
    </row>
    <row r="20">
      <c r="A20" t="inlineStr">
        <is>
          <t>・リスクベースで重要機能（予約・認証）を優先的に検証する</t>
        </is>
      </c>
      <c r="B20" t="inlineStr"/>
    </row>
    <row r="21">
      <c r="A21" t="inlineStr"/>
      <c r="B21" t="inlineStr"/>
    </row>
    <row r="22">
      <c r="A22" t="inlineStr">
        <is>
          <t>実施対象シナリオ</t>
        </is>
      </c>
      <c r="B22" t="inlineStr"/>
    </row>
    <row r="23">
      <c r="A23" t="inlineStr">
        <is>
          <t>S-01：予約導線（Top→Workshop→Booking完了）</t>
        </is>
      </c>
      <c r="B23" t="inlineStr"/>
    </row>
    <row r="24">
      <c r="A24" t="inlineStr">
        <is>
          <t>S-02：会員導線（登録→ログイン→更新）</t>
        </is>
      </c>
      <c r="B24" t="inlineStr"/>
    </row>
    <row r="25">
      <c r="A25" t="inlineStr">
        <is>
          <t>S-03：管理反映（管理更新→公開サイト反映）</t>
        </is>
      </c>
      <c r="B25" t="inlineStr"/>
    </row>
    <row r="26">
      <c r="A26" t="inlineStr"/>
      <c r="B26" t="inlineStr"/>
    </row>
    <row r="27">
      <c r="A27" t="inlineStr">
        <is>
          <t>完了条件（Exit Criteria）</t>
        </is>
      </c>
      <c r="B27" t="inlineStr"/>
    </row>
    <row r="28">
      <c r="A28" t="inlineStr">
        <is>
          <t>・全テストケースが実施済みであること</t>
        </is>
      </c>
      <c r="B28" t="inlineStr"/>
    </row>
    <row r="29">
      <c r="A29" t="inlineStr">
        <is>
          <t>・重大欠陥（S1）が0件であること</t>
        </is>
      </c>
      <c r="B29" t="inlineStr"/>
    </row>
    <row r="30">
      <c r="A30" t="inlineStr">
        <is>
          <t>・主要シナリオ成功率が95%以上であること</t>
        </is>
      </c>
      <c r="B30" t="inlineStr"/>
    </row>
    <row r="31">
      <c r="A31" t="inlineStr">
        <is>
          <t>・セキュリティ関連テストが100%合格していること</t>
        </is>
      </c>
      <c r="B31" t="inlineStr"/>
    </row>
    <row r="32">
      <c r="A32" t="inlineStr"/>
      <c r="B32" t="inlineStr"/>
    </row>
    <row r="33">
      <c r="A33" t="inlineStr">
        <is>
          <t>運用ルール</t>
        </is>
      </c>
      <c r="B33" t="inlineStr"/>
    </row>
    <row r="34">
      <c r="A34" t="inlineStr">
        <is>
          <t>・テストケースは上から順に実施する</t>
        </is>
      </c>
      <c r="B34" t="inlineStr"/>
    </row>
    <row r="35">
      <c r="A35" t="inlineStr">
        <is>
          <t>・結果はOK／NG／保留／未実施で記録する</t>
        </is>
      </c>
      <c r="B35" t="inlineStr"/>
    </row>
    <row r="36">
      <c r="A36" t="inlineStr">
        <is>
          <t>・NGの場合は必ず欠陥管理シートに登録する</t>
        </is>
      </c>
      <c r="B36" t="inlineStr"/>
    </row>
    <row r="37">
      <c r="A37" t="inlineStr">
        <is>
          <t>・修正後は必ず再試験を実施する</t>
        </is>
      </c>
      <c r="B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機能ID</t>
        </is>
      </c>
      <c r="B1" t="inlineStr">
        <is>
          <t>機能名</t>
        </is>
      </c>
      <c r="C1" t="inlineStr">
        <is>
          <t>概要</t>
        </is>
      </c>
      <c r="D1" t="inlineStr">
        <is>
          <t>主なテスト観点</t>
        </is>
      </c>
    </row>
    <row r="2">
      <c r="A2" t="inlineStr">
        <is>
          <t>F-001</t>
        </is>
      </c>
      <c r="B2" t="inlineStr">
        <is>
          <t>ログイン・権限管理</t>
        </is>
      </c>
      <c r="C2" t="inlineStr">
        <is>
          <t>管理機能および公開導線の制御</t>
        </is>
      </c>
      <c r="D2" t="inlineStr">
        <is>
          <t>入力検証 / 権限制御 / データ整合 / 表示確認</t>
        </is>
      </c>
    </row>
    <row r="3">
      <c r="A3" t="inlineStr">
        <is>
          <t>F-002</t>
        </is>
      </c>
      <c r="B3" t="inlineStr">
        <is>
          <t>トップ管理</t>
        </is>
      </c>
      <c r="C3" t="inlineStr">
        <is>
          <t>管理機能および公開導線の制御</t>
        </is>
      </c>
      <c r="D3" t="inlineStr">
        <is>
          <t>入力検証 / 権限制御 / データ整合 / 表示確認</t>
        </is>
      </c>
    </row>
    <row r="4">
      <c r="A4" t="inlineStr">
        <is>
          <t>F-003</t>
        </is>
      </c>
      <c r="B4" t="inlineStr">
        <is>
          <t>導線設定</t>
        </is>
      </c>
      <c r="C4" t="inlineStr">
        <is>
          <t>管理機能および公開導線の制御</t>
        </is>
      </c>
      <c r="D4" t="inlineStr">
        <is>
          <t>入力検証 / 権限制御 / データ整合 / 表示確認</t>
        </is>
      </c>
    </row>
    <row r="5">
      <c r="A5" t="inlineStr">
        <is>
          <t>F-008</t>
        </is>
      </c>
      <c r="B5" t="inlineStr">
        <is>
          <t>ユーザー管理</t>
        </is>
      </c>
      <c r="C5" t="inlineStr">
        <is>
          <t>管理機能および公開導線の制御</t>
        </is>
      </c>
      <c r="D5" t="inlineStr">
        <is>
          <t>入力検証 / 権限制御 / データ整合 / 表示確認</t>
        </is>
      </c>
    </row>
    <row r="6">
      <c r="A6" t="inlineStr">
        <is>
          <t>F-009</t>
        </is>
      </c>
      <c r="B6" t="inlineStr">
        <is>
          <t>予約/問い合わせ</t>
        </is>
      </c>
      <c r="C6" t="inlineStr">
        <is>
          <t>管理機能および公開導線の制御</t>
        </is>
      </c>
      <c r="D6" t="inlineStr">
        <is>
          <t>入力検証 / 権限制御 / データ整合 / 表示確認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シナリオID</t>
        </is>
      </c>
      <c r="B1" t="inlineStr">
        <is>
          <t>名称</t>
        </is>
      </c>
      <c r="C1" t="inlineStr">
        <is>
          <t>対象機能</t>
        </is>
      </c>
      <c r="D1" t="inlineStr">
        <is>
          <t>内容</t>
        </is>
      </c>
      <c r="E1" t="inlineStr">
        <is>
          <t>成功条件</t>
        </is>
      </c>
    </row>
    <row r="2">
      <c r="A2" t="inlineStr">
        <is>
          <t>S-01</t>
        </is>
      </c>
      <c r="B2" t="inlineStr">
        <is>
          <t>予約導線</t>
        </is>
      </c>
      <c r="C2" t="inlineStr">
        <is>
          <t>F-009</t>
        </is>
      </c>
      <c r="D2" t="inlineStr">
        <is>
          <t>Workshop→入力→確認→完了</t>
        </is>
      </c>
      <c r="E2" t="inlineStr">
        <is>
          <t>予約完了しDB登録</t>
        </is>
      </c>
    </row>
    <row r="3">
      <c r="A3" t="inlineStr">
        <is>
          <t>S-02</t>
        </is>
      </c>
      <c r="B3" t="inlineStr">
        <is>
          <t>会員導線</t>
        </is>
      </c>
      <c r="C3" t="inlineStr">
        <is>
          <t>F-001,F-008</t>
        </is>
      </c>
      <c r="D3" t="inlineStr">
        <is>
          <t>登録→ログイン→更新</t>
        </is>
      </c>
      <c r="E3" t="inlineStr">
        <is>
          <t>ログイン成功・更新反映</t>
        </is>
      </c>
    </row>
    <row r="4">
      <c r="A4" t="inlineStr">
        <is>
          <t>S-03</t>
        </is>
      </c>
      <c r="B4" t="inlineStr">
        <is>
          <t>管理反映</t>
        </is>
      </c>
      <c r="C4" t="inlineStr">
        <is>
          <t>F-002〜F-007</t>
        </is>
      </c>
      <c r="D4" t="inlineStr">
        <is>
          <t>管理更新→公開反映</t>
        </is>
      </c>
      <c r="E4" t="inlineStr">
        <is>
          <t>公開サイトへ即時反映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対象機能</t>
        </is>
      </c>
      <c r="C1" t="inlineStr">
        <is>
          <t>テスト種別</t>
        </is>
      </c>
      <c r="D1" t="inlineStr">
        <is>
          <t>テスト内容</t>
        </is>
      </c>
      <c r="E1" t="inlineStr">
        <is>
          <t>期待結果</t>
        </is>
      </c>
    </row>
    <row r="2">
      <c r="A2" t="inlineStr">
        <is>
          <t>TC-001</t>
        </is>
      </c>
      <c r="B2" t="inlineStr">
        <is>
          <t>F-001 ログイン・権限管理</t>
        </is>
      </c>
      <c r="C2" t="inlineStr">
        <is>
          <t>正常系</t>
        </is>
      </c>
      <c r="D2" t="inlineStr">
        <is>
          <t>有効なメールアドレス（255文字以内）と有効なパスワード（8〜72文字）でログインする。</t>
        </is>
      </c>
      <c r="E2" t="inlineStr">
        <is>
          <t>認証成功しダッシュボードへ遷移、権限に応じたメニューのみ表示される。</t>
        </is>
      </c>
    </row>
    <row r="3">
      <c r="A3" t="inlineStr">
        <is>
          <t>TC-002</t>
        </is>
      </c>
      <c r="B3" t="inlineStr">
        <is>
          <t>F-001 ログイン・権限管理</t>
        </is>
      </c>
      <c r="C3" t="inlineStr">
        <is>
          <t>正常系</t>
        </is>
      </c>
      <c r="D3" t="inlineStr">
        <is>
          <t>「ログイン状態を保持」をONにしてログイン後、ブラウザ再起動相当の再アクセスを行う。</t>
        </is>
      </c>
      <c r="E3" t="inlineStr">
        <is>
          <t>セッションが継続し再ログイン不要でダッシュボード表示される。</t>
        </is>
      </c>
    </row>
    <row r="4">
      <c r="A4" t="inlineStr">
        <is>
          <t>TC-003</t>
        </is>
      </c>
      <c r="B4" t="inlineStr">
        <is>
          <t>F-001 ログイン・権限管理</t>
        </is>
      </c>
      <c r="C4" t="inlineStr">
        <is>
          <t>異常系</t>
        </is>
      </c>
      <c r="D4" t="inlineStr">
        <is>
          <t>メールアドレス未入力でログインを押下する。</t>
        </is>
      </c>
      <c r="E4" t="inlineStr">
        <is>
          <t>必須エラーが項目下に表示され、ログイン処理は実行されない。</t>
        </is>
      </c>
    </row>
    <row r="5">
      <c r="A5" t="inlineStr">
        <is>
          <t>TC-004</t>
        </is>
      </c>
      <c r="B5" t="inlineStr">
        <is>
          <t>F-001 ログイン・権限管理</t>
        </is>
      </c>
      <c r="C5" t="inlineStr">
        <is>
          <t>異常系</t>
        </is>
      </c>
      <c r="D5" t="inlineStr">
        <is>
          <t>パスワード誤りでログインする。</t>
        </is>
      </c>
      <c r="E5" t="inlineStr">
        <is>
          <t>「メールアドレスまたはパスワードが正しくありません」を表示し、画面遷移しない。</t>
        </is>
      </c>
    </row>
    <row r="6">
      <c r="A6" t="inlineStr">
        <is>
          <t>TC-005</t>
        </is>
      </c>
      <c r="B6" t="inlineStr">
        <is>
          <t>F-001 ログイン・権限管理</t>
        </is>
      </c>
      <c r="C6" t="inlineStr">
        <is>
          <t>異常系</t>
        </is>
      </c>
      <c r="D6" t="inlineStr">
        <is>
          <t>Supabase接続失敗状態でログインを実行する。</t>
        </is>
      </c>
      <c r="E6" t="inlineStr">
        <is>
          <t>接続失敗メッセージを表示し、再送可能な状態を維持する。</t>
        </is>
      </c>
    </row>
    <row r="7">
      <c r="A7" t="inlineStr">
        <is>
          <t>TC-006</t>
        </is>
      </c>
      <c r="B7" t="inlineStr">
        <is>
          <t>F-001 ログイン・権限管理</t>
        </is>
      </c>
      <c r="C7" t="inlineStr">
        <is>
          <t>境界値</t>
        </is>
      </c>
      <c r="D7" t="inlineStr">
        <is>
          <t>メールアドレス255文字でログインする。</t>
        </is>
      </c>
      <c r="E7" t="inlineStr">
        <is>
          <t>形式が正しければ入力受理される（256文字はバリデーションエラー）。</t>
        </is>
      </c>
    </row>
    <row r="8">
      <c r="A8" t="inlineStr">
        <is>
          <t>TC-007</t>
        </is>
      </c>
      <c r="B8" t="inlineStr">
        <is>
          <t>F-001 ログイン・権限管理</t>
        </is>
      </c>
      <c r="C8" t="inlineStr">
        <is>
          <t>境界値</t>
        </is>
      </c>
      <c r="D8" t="inlineStr">
        <is>
          <t>パスワード長8文字/72文字/73文字でログインを試行する。</t>
        </is>
      </c>
      <c r="E8" t="inlineStr">
        <is>
          <t>8・72文字は入力受理、73文字はバリデーションエラーになる。</t>
        </is>
      </c>
    </row>
    <row r="9">
      <c r="A9" t="inlineStr">
        <is>
          <t>TC-008</t>
        </is>
      </c>
      <c r="B9" t="inlineStr">
        <is>
          <t>F-002 トップヒーロー/スライダー管理</t>
        </is>
      </c>
      <c r="C9" t="inlineStr">
        <is>
          <t>正常系</t>
        </is>
      </c>
      <c r="D9" t="inlineStr">
        <is>
          <t>見出し・リード文・ボタン文言・リンク先・表示順を有効値で更新して保存する。</t>
        </is>
      </c>
      <c r="E9" t="inlineStr">
        <is>
          <t>保存成功メッセージ表示、更新時刻/更新者が反映され、プレビューが最新化される。</t>
        </is>
      </c>
    </row>
    <row r="10">
      <c r="A10" t="inlineStr">
        <is>
          <t>TC-009</t>
        </is>
      </c>
      <c r="B10" t="inlineStr">
        <is>
          <t>F-002 トップヒーロー/スライダー管理</t>
        </is>
      </c>
      <c r="C10" t="inlineStr">
        <is>
          <t>正常系</t>
        </is>
      </c>
      <c r="D10" t="inlineStr">
        <is>
          <t>画像を変更せず他項目のみ更新して保存する。</t>
        </is>
      </c>
      <c r="E10" t="inlineStr">
        <is>
          <t>既存画像を維持したままレコード更新される。</t>
        </is>
      </c>
    </row>
    <row r="11">
      <c r="A11" t="inlineStr">
        <is>
          <t>TC-010</t>
        </is>
      </c>
      <c r="B11" t="inlineStr">
        <is>
          <t>F-002 トップヒーロー/スライダー管理</t>
        </is>
      </c>
      <c r="C11" t="inlineStr">
        <is>
          <t>異常系</t>
        </is>
      </c>
      <c r="D11" t="inlineStr">
        <is>
          <t>必須項目（見出し）未入力で保存する。</t>
        </is>
      </c>
      <c r="E11" t="inlineStr">
        <is>
          <t>項目単位の必須エラーを表示し、保存されない。</t>
        </is>
      </c>
    </row>
    <row r="12">
      <c r="A12" t="inlineStr">
        <is>
          <t>TC-011</t>
        </is>
      </c>
      <c r="B12" t="inlineStr">
        <is>
          <t>F-002 トップヒーロー/スライダー管理</t>
        </is>
      </c>
      <c r="C12" t="inlineStr">
        <is>
          <t>異常系</t>
        </is>
      </c>
      <c r="D12" t="inlineStr">
        <is>
          <t>リンク先URLに不正形式（例: ftp://...）を入力して保存する。</t>
        </is>
      </c>
      <c r="E12" t="inlineStr">
        <is>
          <t>URL形式エラーを表示し保存不可となる。</t>
        </is>
      </c>
    </row>
    <row r="13">
      <c r="A13" t="inlineStr">
        <is>
          <t>TC-012</t>
        </is>
      </c>
      <c r="B13" t="inlineStr">
        <is>
          <t>F-002 トップヒーロー/スライダー管理</t>
        </is>
      </c>
      <c r="C13" t="inlineStr">
        <is>
          <t>異常系</t>
        </is>
      </c>
      <c r="D13" t="inlineStr">
        <is>
          <t>画像アップロード時にStorageエラーを発生させ保存する。</t>
        </is>
      </c>
      <c r="E13" t="inlineStr">
        <is>
          <t>「画像の保存に失敗しました」を表示し、DB更新は中断される。</t>
        </is>
      </c>
    </row>
    <row r="14">
      <c r="A14" t="inlineStr">
        <is>
          <t>TC-013</t>
        </is>
      </c>
      <c r="B14" t="inlineStr">
        <is>
          <t>F-002 トップヒーロー/スライダー管理</t>
        </is>
      </c>
      <c r="C14" t="inlineStr">
        <is>
          <t>境界値</t>
        </is>
      </c>
      <c r="D14" t="inlineStr">
        <is>
          <t>見出し60文字/61文字で保存する。</t>
        </is>
      </c>
      <c r="E14" t="inlineStr">
        <is>
          <t>60文字は保存可能、61文字は文字数超過エラーになる。</t>
        </is>
      </c>
    </row>
    <row r="15">
      <c r="A15" t="inlineStr">
        <is>
          <t>TC-014</t>
        </is>
      </c>
      <c r="B15" t="inlineStr">
        <is>
          <t>F-002 トップヒーロー/スライダー管理</t>
        </is>
      </c>
      <c r="C15" t="inlineStr">
        <is>
          <t>境界値</t>
        </is>
      </c>
      <c r="D15" t="inlineStr">
        <is>
          <t>表示順に1、重複値、0を入力して保存する。</t>
        </is>
      </c>
      <c r="E15" t="inlineStr">
        <is>
          <t>1は保存可能、重複値は保存不可、0は下限エラーになる。</t>
        </is>
      </c>
    </row>
    <row r="16">
      <c r="A16" t="inlineStr">
        <is>
          <t>TC-015</t>
        </is>
      </c>
      <c r="B16" t="inlineStr">
        <is>
          <t>F-002 トップヒーロー/スライダー管理</t>
        </is>
      </c>
      <c r="C16" t="inlineStr">
        <is>
          <t>境界値</t>
        </is>
      </c>
      <c r="D16" t="inlineStr">
        <is>
          <t>5MBちょうど/5MB超の画像ファイルをアップロードする。</t>
        </is>
      </c>
      <c r="E16" t="inlineStr">
        <is>
          <t>5MB以内は受理、5MB超はサイズ超過エラーで保存不可。</t>
        </is>
      </c>
    </row>
    <row r="17">
      <c r="A17" t="inlineStr">
        <is>
          <t>TC-016</t>
        </is>
      </c>
      <c r="B17" t="inlineStr">
        <is>
          <t>F-003 体験導線設定</t>
        </is>
      </c>
      <c r="C17" t="inlineStr">
        <is>
          <t>正常系</t>
        </is>
      </c>
      <c r="D17" t="inlineStr">
        <is>
          <t>ステップ番号・表示名・URL・表示状態を有効値で更新し保存する。</t>
        </is>
      </c>
      <c r="E17" t="inlineStr">
        <is>
          <t>保存成功後、導線一覧とプレビューが更新され、公開サイトCTAに反映される。</t>
        </is>
      </c>
    </row>
    <row r="18">
      <c r="A18" t="inlineStr">
        <is>
          <t>TC-017</t>
        </is>
      </c>
      <c r="B18" t="inlineStr">
        <is>
          <t>F-003 体験導線設定</t>
        </is>
      </c>
      <c r="C18" t="inlineStr">
        <is>
          <t>正常系</t>
        </is>
      </c>
      <c r="D18" t="inlineStr">
        <is>
          <t>表示状態を「非表示」に変更して保存する。</t>
        </is>
      </c>
      <c r="E18" t="inlineStr">
        <is>
          <t>対象導線が公開サイトで非表示になる。</t>
        </is>
      </c>
    </row>
    <row r="19">
      <c r="A19" t="inlineStr">
        <is>
          <t>TC-018</t>
        </is>
      </c>
      <c r="B19" t="inlineStr">
        <is>
          <t>F-003 体験導線設定</t>
        </is>
      </c>
      <c r="C19" t="inlineStr">
        <is>
          <t>異常系</t>
        </is>
      </c>
      <c r="D19" t="inlineStr">
        <is>
          <t>表示名を未入力で保存する。</t>
        </is>
      </c>
      <c r="E19" t="inlineStr">
        <is>
          <t>該当行に必須エラーを表示し保存されない。</t>
        </is>
      </c>
    </row>
    <row r="20">
      <c r="A20" t="inlineStr">
        <is>
          <t>TC-019</t>
        </is>
      </c>
      <c r="B20" t="inlineStr">
        <is>
          <t>F-003 体験導線設定</t>
        </is>
      </c>
      <c r="C20" t="inlineStr">
        <is>
          <t>異常系</t>
        </is>
      </c>
      <c r="D20" t="inlineStr">
        <is>
          <t>同一のステップ番号を複数行に設定して保存する。</t>
        </is>
      </c>
      <c r="E20" t="inlineStr">
        <is>
          <t>重複エラーを行単位表示し保存不可。</t>
        </is>
      </c>
    </row>
    <row r="21">
      <c r="A21" t="inlineStr">
        <is>
          <t>TC-020</t>
        </is>
      </c>
      <c r="B21" t="inlineStr">
        <is>
          <t>F-003 体験導線設定</t>
        </is>
      </c>
      <c r="C21" t="inlineStr">
        <is>
          <t>異常系</t>
        </is>
      </c>
      <c r="D21" t="inlineStr">
        <is>
          <t>更新時にDB接続エラーを発生させる。</t>
        </is>
      </c>
      <c r="E21" t="inlineStr">
        <is>
          <t>「反映に失敗しました」を表示し、編集内容を保持したまま再試行可能。</t>
        </is>
      </c>
    </row>
    <row r="22">
      <c r="A22" t="inlineStr">
        <is>
          <t>TC-021</t>
        </is>
      </c>
      <c r="B22" t="inlineStr">
        <is>
          <t>F-003 体験導線設定</t>
        </is>
      </c>
      <c r="C22" t="inlineStr">
        <is>
          <t>境界値</t>
        </is>
      </c>
      <c r="D22" t="inlineStr">
        <is>
          <t>表示名30文字/31文字で保存する。</t>
        </is>
      </c>
      <c r="E22" t="inlineStr">
        <is>
          <t>30文字は保存可能、31文字は文字数超過エラーになる。</t>
        </is>
      </c>
    </row>
    <row r="23">
      <c r="A23" t="inlineStr">
        <is>
          <t>TC-022</t>
        </is>
      </c>
      <c r="B23" t="inlineStr">
        <is>
          <t>F-003 体験導線設定</t>
        </is>
      </c>
      <c r="C23" t="inlineStr">
        <is>
          <t>境界値</t>
        </is>
      </c>
      <c r="D23" t="inlineStr">
        <is>
          <t>補足文言80文字/81文字で保存する。</t>
        </is>
      </c>
      <c r="E23" t="inlineStr">
        <is>
          <t>80文字は保存可能、81文字は文字数超過エラーになる。</t>
        </is>
      </c>
    </row>
    <row r="24">
      <c r="A24" t="inlineStr">
        <is>
          <t>TC-023</t>
        </is>
      </c>
      <c r="B24" t="inlineStr">
        <is>
          <t>F-003 体験導線設定</t>
        </is>
      </c>
      <c r="C24" t="inlineStr">
        <is>
          <t>境界値</t>
        </is>
      </c>
      <c r="D24" t="inlineStr">
        <is>
          <t>ステップ番号に1、0、負数を入力して保存する。</t>
        </is>
      </c>
      <c r="E24" t="inlineStr">
        <is>
          <t>1は保存可能、0/負数は下限エラーとなる。</t>
        </is>
      </c>
    </row>
    <row r="25">
      <c r="A25" t="inlineStr">
        <is>
          <t>TC-024</t>
        </is>
      </c>
      <c r="B25" t="inlineStr">
        <is>
          <t>F-008 ユーザー管理</t>
        </is>
      </c>
      <c r="C25" t="inlineStr">
        <is>
          <t>正常系</t>
        </is>
      </c>
      <c r="D25" t="inlineStr">
        <is>
          <t>検索キーワードで対象ユーザーを検索し、詳細を表示する。</t>
        </is>
      </c>
      <c r="E25" t="inlineStr">
        <is>
          <t>一致ユーザーが一覧表示され、詳細パネルに正しい情報が表示される。</t>
        </is>
      </c>
    </row>
    <row r="26">
      <c r="A26" t="inlineStr">
        <is>
          <t>TC-025</t>
        </is>
      </c>
      <c r="B26" t="inlineStr">
        <is>
          <t>F-008 ユーザー管理</t>
        </is>
      </c>
      <c r="C26" t="inlineStr">
        <is>
          <t>正常系</t>
        </is>
      </c>
      <c r="D26" t="inlineStr">
        <is>
          <t>ユーザー状態を「有効→停止」に変更し停止理由を入力して保存する。</t>
        </is>
      </c>
      <c r="E26" t="inlineStr">
        <is>
          <t>状態・停止理由・更新日時が反映される。</t>
        </is>
      </c>
    </row>
    <row r="27">
      <c r="A27" t="inlineStr">
        <is>
          <t>TC-026</t>
        </is>
      </c>
      <c r="B27" t="inlineStr">
        <is>
          <t>F-008 ユーザー管理</t>
        </is>
      </c>
      <c r="C27" t="inlineStr">
        <is>
          <t>異常系</t>
        </is>
      </c>
      <c r="D27" t="inlineStr">
        <is>
          <t>停止理由未入力のまま停止保存する。</t>
        </is>
      </c>
      <c r="E27" t="inlineStr">
        <is>
          <t>停止理由必須エラーを表示し更新されない。</t>
        </is>
      </c>
    </row>
    <row r="28">
      <c r="A28" t="inlineStr">
        <is>
          <t>TC-027</t>
        </is>
      </c>
      <c r="B28" t="inlineStr">
        <is>
          <t>F-008 ユーザー管理</t>
        </is>
      </c>
      <c r="C28" t="inlineStr">
        <is>
          <t>異常系</t>
        </is>
      </c>
      <c r="D28" t="inlineStr">
        <is>
          <t>権限不足ユーザーで状態変更を実行する。</t>
        </is>
      </c>
      <c r="E28" t="inlineStr">
        <is>
          <t>「この操作は許可されていません」を表示し更新されない。</t>
        </is>
      </c>
    </row>
    <row r="29">
      <c r="A29" t="inlineStr">
        <is>
          <t>TC-028</t>
        </is>
      </c>
      <c r="B29" t="inlineStr">
        <is>
          <t>F-008 ユーザー管理</t>
        </is>
      </c>
      <c r="C29" t="inlineStr">
        <is>
          <t>境界値</t>
        </is>
      </c>
      <c r="D29" t="inlineStr">
        <is>
          <t>検索キーワード100文字/101文字で検索する。</t>
        </is>
      </c>
      <c r="E29" t="inlineStr">
        <is>
          <t>100文字は検索実行可能、101文字は入力制限またはエラー表示。</t>
        </is>
      </c>
    </row>
    <row r="30">
      <c r="A30" t="inlineStr">
        <is>
          <t>TC-029</t>
        </is>
      </c>
      <c r="B30" t="inlineStr">
        <is>
          <t>F-008 ユーザー管理</t>
        </is>
      </c>
      <c r="C30" t="inlineStr">
        <is>
          <t>境界値</t>
        </is>
      </c>
      <c r="D30" t="inlineStr">
        <is>
          <t>内部メモ300文字/301文字で保存する。</t>
        </is>
      </c>
      <c r="E30" t="inlineStr">
        <is>
          <t>300文字は保存可能、301文字は文字数超過エラー。</t>
        </is>
      </c>
    </row>
    <row r="31">
      <c r="A31" t="inlineStr">
        <is>
          <t>TC-030</t>
        </is>
      </c>
      <c r="B31" t="inlineStr">
        <is>
          <t>F-008 ユーザー管理</t>
        </is>
      </c>
      <c r="C31" t="inlineStr">
        <is>
          <t>境界値</t>
        </is>
      </c>
      <c r="D31" t="inlineStr">
        <is>
          <t>該当なし条件で検索する（0件）。</t>
        </is>
      </c>
      <c r="E31" t="inlineStr">
        <is>
          <t>「該当ユーザーなし」を表示し、画面異常なく操作継続できる。</t>
        </is>
      </c>
    </row>
    <row r="32">
      <c r="A32" t="inlineStr">
        <is>
          <t>TC-031</t>
        </is>
      </c>
      <c r="B32" t="inlineStr">
        <is>
          <t>F-009 予約/問い合わせログ管理</t>
        </is>
      </c>
      <c r="C32" t="inlineStr">
        <is>
          <t>正常系</t>
        </is>
      </c>
      <c r="D32" t="inlineStr">
        <is>
          <t>案件種別「予約」で絞り込み、対象案件を「未対応→対応中」に更新する。</t>
        </is>
      </c>
      <c r="E32" t="inlineStr">
        <is>
          <t>ステータスと更新日時が即時反映される。</t>
        </is>
      </c>
    </row>
    <row r="33">
      <c r="A33" t="inlineStr">
        <is>
          <t>TC-032</t>
        </is>
      </c>
      <c r="B33" t="inlineStr">
        <is>
          <t>F-009 予約/問い合わせログ管理</t>
        </is>
      </c>
      <c r="C33" t="inlineStr">
        <is>
          <t>正常系</t>
        </is>
      </c>
      <c r="D33" t="inlineStr">
        <is>
          <t>検索条件を指定してCSV出力する。</t>
        </is>
      </c>
      <c r="E33" t="inlineStr">
        <is>
          <t>指定条件に一致するデータのみCSVダウンロードされる。</t>
        </is>
      </c>
    </row>
    <row r="34">
      <c r="A34" t="inlineStr">
        <is>
          <t>TC-033</t>
        </is>
      </c>
      <c r="B34" t="inlineStr">
        <is>
          <t>F-009 予約/問い合わせログ管理</t>
        </is>
      </c>
      <c r="C34" t="inlineStr">
        <is>
          <t>異常系</t>
        </is>
      </c>
      <c r="D34" t="inlineStr">
        <is>
          <t>不正な検索条件（日時形式不正）で検索する。</t>
        </is>
      </c>
      <c r="E34" t="inlineStr">
        <is>
          <t>入力欄に形式エラーが表示され、検索は実行されない。</t>
        </is>
      </c>
    </row>
    <row r="35">
      <c r="A35" t="inlineStr">
        <is>
          <t>TC-034</t>
        </is>
      </c>
      <c r="B35" t="inlineStr">
        <is>
          <t>F-009 予約/問い合わせログ管理</t>
        </is>
      </c>
      <c r="C35" t="inlineStr">
        <is>
          <t>異常系</t>
        </is>
      </c>
      <c r="D35" t="inlineStr">
        <is>
          <t>ステータス更新時にDB更新失敗を発生させる。</t>
        </is>
      </c>
      <c r="E35" t="inlineStr">
        <is>
          <t>変更をロールバックし「保存に失敗しました」を表示する。</t>
        </is>
      </c>
    </row>
    <row r="36">
      <c r="A36" t="inlineStr">
        <is>
          <t>TC-035</t>
        </is>
      </c>
      <c r="B36" t="inlineStr">
        <is>
          <t>F-009 予約/問い合わせログ管理</t>
        </is>
      </c>
      <c r="C36" t="inlineStr">
        <is>
          <t>異常系</t>
        </is>
      </c>
      <c r="D36" t="inlineStr">
        <is>
          <t>CSV生成処理で失敗を発生させる。</t>
        </is>
      </c>
      <c r="E36" t="inlineStr">
        <is>
          <t>画面遷移せず失敗メッセージを表示し再試行可能。</t>
        </is>
      </c>
    </row>
    <row r="37">
      <c r="A37" t="inlineStr">
        <is>
          <t>TC-036</t>
        </is>
      </c>
      <c r="B37" t="inlineStr">
        <is>
          <t>F-009 予約/問い合わせログ管理</t>
        </is>
      </c>
      <c r="C37" t="inlineStr">
        <is>
          <t>境界値</t>
        </is>
      </c>
      <c r="D37" t="inlineStr">
        <is>
          <t>検索キーワード100文字/101文字で検索する。</t>
        </is>
      </c>
      <c r="E37" t="inlineStr">
        <is>
          <t>100文字は受理、101文字は入力制限またはエラー表示。</t>
        </is>
      </c>
    </row>
    <row r="38">
      <c r="A38" t="inlineStr">
        <is>
          <t>TC-037</t>
        </is>
      </c>
      <c r="B38" t="inlineStr">
        <is>
          <t>F-009 予約/問い合わせログ管理</t>
        </is>
      </c>
      <c r="C38" t="inlineStr">
        <is>
          <t>境界値</t>
        </is>
      </c>
      <c r="D38" t="inlineStr">
        <is>
          <t>対応メモ500文字/501文字でステータス更新する。</t>
        </is>
      </c>
      <c r="E38" t="inlineStr">
        <is>
          <t>500文字は保存可能、501文字は文字数超過エラー。</t>
        </is>
      </c>
    </row>
    <row r="39">
      <c r="A39" t="inlineStr">
        <is>
          <t>TC-038</t>
        </is>
      </c>
      <c r="B39" t="inlineStr">
        <is>
          <t>F-009 予約/問い合わせログ管理</t>
        </is>
      </c>
      <c r="C39" t="inlineStr">
        <is>
          <t>境界値</t>
        </is>
      </c>
      <c r="D39" t="inlineStr">
        <is>
          <t>絞り込み条件に一致する案件0件で一覧表示する。</t>
        </is>
      </c>
      <c r="E39" t="inlineStr">
        <is>
          <t>0件表示メッセージを表示し、画面レイアウト崩れやエラーが発生しない。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不具合ID</t>
        </is>
      </c>
      <c r="B1" t="inlineStr">
        <is>
          <t>機能ID</t>
        </is>
      </c>
      <c r="C1" t="inlineStr">
        <is>
          <t>タイトル</t>
        </is>
      </c>
      <c r="D1" t="inlineStr">
        <is>
          <t>再現手順</t>
        </is>
      </c>
      <c r="E1" t="inlineStr">
        <is>
          <t>期待結果</t>
        </is>
      </c>
      <c r="F1" t="inlineStr">
        <is>
          <t>実際結果</t>
        </is>
      </c>
      <c r="G1" t="inlineStr">
        <is>
          <t>重大度</t>
        </is>
      </c>
      <c r="H1" t="inlineStr">
        <is>
          <t>再現率</t>
        </is>
      </c>
      <c r="I1" t="inlineStr">
        <is>
          <t>状態</t>
        </is>
      </c>
    </row>
    <row r="2">
      <c r="A2" t="inlineStr">
        <is>
          <t>BUG-XXX</t>
        </is>
      </c>
      <c r="G2" t="inlineStr">
        <is>
          <t>S2</t>
        </is>
      </c>
      <c r="H2" t="inlineStr">
        <is>
          <t>100%</t>
        </is>
      </c>
      <c r="I2" t="inlineStr">
        <is>
          <t>未対応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指標</t>
        </is>
      </c>
      <c r="B1" t="inlineStr">
        <is>
          <t>値</t>
        </is>
      </c>
    </row>
    <row r="2">
      <c r="A2" t="inlineStr">
        <is>
          <t>総ケース数</t>
        </is>
      </c>
      <c r="B2">
        <f>COUNTA('03_テストケース'!A2:A2000)</f>
        <v/>
      </c>
    </row>
    <row r="3">
      <c r="A3" t="inlineStr">
        <is>
          <t>OK数</t>
        </is>
      </c>
      <c r="B3">
        <f>COUNTIF('03_テストケース'!F2:F2000,"OK")</f>
        <v/>
      </c>
    </row>
    <row r="4">
      <c r="A4" t="inlineStr">
        <is>
          <t>NG数</t>
        </is>
      </c>
      <c r="B4">
        <f>COUNTIF('03_テストケース'!F2:F2000,"NG")</f>
        <v/>
      </c>
    </row>
    <row r="5">
      <c r="A5" t="inlineStr">
        <is>
          <t>OK率</t>
        </is>
      </c>
      <c r="B5">
        <f>IF(B2=0,0,B3/B2)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① テストケースを上から順に実行</t>
        </is>
      </c>
    </row>
    <row r="2">
      <c r="A2" t="inlineStr">
        <is>
          <t>② 対象画面を開く</t>
        </is>
      </c>
    </row>
    <row r="3">
      <c r="A3" t="inlineStr">
        <is>
          <t>③ テスト内容の通り操作</t>
        </is>
      </c>
    </row>
    <row r="4">
      <c r="A4" t="inlineStr">
        <is>
          <t>④ 期待結果と比較</t>
        </is>
      </c>
    </row>
    <row r="5">
      <c r="A5" t="inlineStr">
        <is>
          <t>⑤ OK/NGを結果欄に記載</t>
        </is>
      </c>
    </row>
    <row r="6">
      <c r="A6" t="inlineStr">
        <is>
          <t>⑥ NGの場合は欠陥管理に登録</t>
        </is>
      </c>
    </row>
    <row r="7">
      <c r="A7" t="inlineStr">
        <is>
          <t>⑦ 修正後に再試験を実施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2026-03-25T03:12:56Z</dcterms:created>
  <dcterms:modified xmlns:dcterms="http://purl.org/dc/terms/" xmlns:xsi="http://www.w3.org/2001/XMLSchema-instance" xsi:type="dcterms:W3CDTF">2026-03-25T03:37:45Z</dcterms:modified>
</cp:coreProperties>
</file>